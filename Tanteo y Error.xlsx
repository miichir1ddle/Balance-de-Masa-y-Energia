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Hoja1" sheetId="1" r:id="rId1"/>
  </sheets>
  <definedNames>
    <definedName name="solver_adj" localSheetId="0" hidden="1">Hoja1!$E$6,Hoja1!$E$1:$E$4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Hoja1!$E$7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44525"/>
</workbook>
</file>

<file path=xl/calcChain.xml><?xml version="1.0" encoding="utf-8"?>
<calcChain xmlns="http://schemas.openxmlformats.org/spreadsheetml/2006/main">
  <c r="B7" i="1" l="1"/>
  <c r="B6" i="1"/>
  <c r="B5" i="1"/>
  <c r="B8" i="1"/>
  <c r="L19" i="1"/>
  <c r="B3" i="1"/>
  <c r="B9" i="1" s="1"/>
  <c r="L15" i="1"/>
  <c r="L11" i="1"/>
  <c r="L7" i="1"/>
  <c r="L3" i="1"/>
  <c r="B2" i="1"/>
  <c r="B1" i="1"/>
</calcChain>
</file>

<file path=xl/sharedStrings.xml><?xml version="1.0" encoding="utf-8"?>
<sst xmlns="http://schemas.openxmlformats.org/spreadsheetml/2006/main" count="34" uniqueCount="10">
  <si>
    <t>dHr</t>
  </si>
  <si>
    <t>dHc</t>
  </si>
  <si>
    <t>dHp</t>
  </si>
  <si>
    <t>T</t>
  </si>
  <si>
    <t>dH</t>
  </si>
  <si>
    <t>ER</t>
  </si>
  <si>
    <t>Cp(O2)</t>
  </si>
  <si>
    <t>Cp(CO2)</t>
  </si>
  <si>
    <t>Cp(N2)</t>
  </si>
  <si>
    <t>Cp(H2O)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</si>
</sst>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0" fillId="2" borderId="1" xfId="0" applyFill="1" applyBorder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D8" sqref="D8"/>
    </sheetView>
  </sheetViews>
  <sheetFormatPr baseColWidth="10" defaultColWidth="8.88671875" defaultRowHeight="14.4" x14ac:dyDescent="0.3"/>
  <cols>
    <col min="2" max="2" width="10.6640625" bestFit="1" customWidth="1"/>
    <col min="3" max="3" width="8.44140625" customWidth="1"/>
    <col min="5" max="5" width="12" bestFit="1" customWidth="1"/>
    <col min="12" max="12" width="12" bestFit="1" customWidth="1"/>
  </cols>
  <sheetData>
    <row r="1" spans="1:12" x14ac:dyDescent="0.3">
      <c r="A1" t="s">
        <v>0</v>
      </c>
      <c r="B1">
        <f>-3.477*10^6</f>
        <v>-3477000</v>
      </c>
      <c r="H1" t="s">
        <v>6</v>
      </c>
      <c r="I1">
        <v>7.5149999999999997</v>
      </c>
      <c r="J1">
        <v>300</v>
      </c>
    </row>
    <row r="2" spans="1:12" x14ac:dyDescent="0.3">
      <c r="A2" t="s">
        <v>1</v>
      </c>
      <c r="B2">
        <f>-9.771*10^7</f>
        <v>-97710000.000000015</v>
      </c>
      <c r="H2" t="s">
        <v>7</v>
      </c>
      <c r="I2">
        <v>10.776</v>
      </c>
      <c r="J2">
        <v>600</v>
      </c>
    </row>
    <row r="3" spans="1:12" x14ac:dyDescent="0.3">
      <c r="A3" t="s">
        <v>2</v>
      </c>
      <c r="B3">
        <f>(B2+B1)*-1</f>
        <v>101187000.00000001</v>
      </c>
      <c r="H3" t="s">
        <v>8</v>
      </c>
      <c r="I3">
        <v>7.1589999999999998</v>
      </c>
      <c r="J3">
        <v>4890</v>
      </c>
      <c r="K3" t="s">
        <v>4</v>
      </c>
      <c r="L3">
        <f>(J1*I1+J2*I2+J3*I3+J4*I4)*(L4-25)</f>
        <v>24945886.885000002</v>
      </c>
    </row>
    <row r="4" spans="1:12" x14ac:dyDescent="0.3">
      <c r="H4" t="s">
        <v>9</v>
      </c>
      <c r="I4">
        <v>8.5389999999999997</v>
      </c>
      <c r="J4">
        <v>1029.4000000000001</v>
      </c>
      <c r="K4" t="s">
        <v>3</v>
      </c>
      <c r="L4">
        <v>500</v>
      </c>
    </row>
    <row r="5" spans="1:12" x14ac:dyDescent="0.3">
      <c r="A5" t="s">
        <v>5</v>
      </c>
      <c r="B5">
        <f>(B3-L3)/L3</f>
        <v>3.0562598742818761</v>
      </c>
      <c r="E5" s="1"/>
      <c r="H5" t="s">
        <v>6</v>
      </c>
      <c r="I5">
        <v>7.9409999999999998</v>
      </c>
      <c r="J5">
        <v>300</v>
      </c>
    </row>
    <row r="6" spans="1:12" x14ac:dyDescent="0.3">
      <c r="B6">
        <f>(B3-L7)/L7</f>
        <v>0.86117293399449801</v>
      </c>
      <c r="E6" s="2"/>
      <c r="H6" t="s">
        <v>7</v>
      </c>
      <c r="I6">
        <v>11.92</v>
      </c>
      <c r="J6">
        <v>600</v>
      </c>
    </row>
    <row r="7" spans="1:12" x14ac:dyDescent="0.3">
      <c r="B7">
        <f>(L11-B3)/L11</f>
        <v>-0.17610645912449746</v>
      </c>
      <c r="H7" t="s">
        <v>8</v>
      </c>
      <c r="I7">
        <v>7.5069999999999997</v>
      </c>
      <c r="J7">
        <v>4890</v>
      </c>
      <c r="K7" t="s">
        <v>4</v>
      </c>
      <c r="L7">
        <f>(J5*I5+J6*I6+J7*I7+J8*I8)*(L8-25)</f>
        <v>54367328.339999996</v>
      </c>
    </row>
    <row r="8" spans="1:12" x14ac:dyDescent="0.3">
      <c r="B8" s="4">
        <f>(B3-L15)/L15</f>
        <v>-4.2838081658253008E-2</v>
      </c>
      <c r="H8" t="s">
        <v>9</v>
      </c>
      <c r="I8">
        <v>9.2460000000000004</v>
      </c>
      <c r="J8">
        <v>1029.4000000000001</v>
      </c>
      <c r="K8" t="s">
        <v>3</v>
      </c>
      <c r="L8">
        <v>1000</v>
      </c>
    </row>
    <row r="9" spans="1:12" x14ac:dyDescent="0.3">
      <c r="B9">
        <f>(B3-L19)/L19</f>
        <v>-9.8676624719125458E-2</v>
      </c>
      <c r="H9" t="s">
        <v>6</v>
      </c>
      <c r="I9">
        <v>8.2029999999999994</v>
      </c>
      <c r="J9">
        <v>300</v>
      </c>
    </row>
    <row r="10" spans="1:12" x14ac:dyDescent="0.3">
      <c r="H10" t="s">
        <v>7</v>
      </c>
      <c r="I10">
        <v>12.69</v>
      </c>
      <c r="J10">
        <v>600</v>
      </c>
    </row>
    <row r="11" spans="1:12" x14ac:dyDescent="0.3">
      <c r="H11" t="s">
        <v>8</v>
      </c>
      <c r="I11">
        <v>7.7859999999999996</v>
      </c>
      <c r="J11">
        <v>4890</v>
      </c>
      <c r="K11" t="s">
        <v>4</v>
      </c>
      <c r="L11">
        <f>(J9*I9+J10*I10+J11*I11+J12*I12)*(L12-25)</f>
        <v>86035578.850000009</v>
      </c>
    </row>
    <row r="12" spans="1:12" x14ac:dyDescent="0.3">
      <c r="H12" t="s">
        <v>9</v>
      </c>
      <c r="I12">
        <v>9.89</v>
      </c>
      <c r="J12">
        <v>1029.4000000000001</v>
      </c>
      <c r="K12" t="s">
        <v>3</v>
      </c>
      <c r="L12">
        <v>1500</v>
      </c>
    </row>
    <row r="13" spans="1:12" x14ac:dyDescent="0.3">
      <c r="H13" t="s">
        <v>6</v>
      </c>
      <c r="I13">
        <v>8.3490000000000002</v>
      </c>
      <c r="J13">
        <v>300</v>
      </c>
    </row>
    <row r="14" spans="1:12" x14ac:dyDescent="0.3">
      <c r="H14" t="s">
        <v>7</v>
      </c>
      <c r="I14">
        <v>12.94</v>
      </c>
      <c r="J14">
        <v>600</v>
      </c>
    </row>
    <row r="15" spans="1:12" x14ac:dyDescent="0.3">
      <c r="H15" t="s">
        <v>8</v>
      </c>
      <c r="I15">
        <v>7.9240000000000004</v>
      </c>
      <c r="J15">
        <v>4890</v>
      </c>
      <c r="K15" t="s">
        <v>4</v>
      </c>
      <c r="L15">
        <f>(J13*I13+J14*I14+J15*I15+J16*I16)*(L16-25)</f>
        <v>105715655.89999999</v>
      </c>
    </row>
    <row r="16" spans="1:12" x14ac:dyDescent="0.3">
      <c r="H16" t="s">
        <v>9</v>
      </c>
      <c r="I16">
        <v>10.24</v>
      </c>
      <c r="J16">
        <v>1029.4000000000001</v>
      </c>
      <c r="K16" t="s">
        <v>3</v>
      </c>
      <c r="L16" s="3">
        <v>1800</v>
      </c>
    </row>
    <row r="17" spans="8:12" x14ac:dyDescent="0.3">
      <c r="H17" t="s">
        <v>6</v>
      </c>
      <c r="I17">
        <v>8.3829999999999991</v>
      </c>
      <c r="J17">
        <v>300</v>
      </c>
    </row>
    <row r="18" spans="8:12" x14ac:dyDescent="0.3">
      <c r="H18" t="s">
        <v>7</v>
      </c>
      <c r="I18">
        <v>13.01</v>
      </c>
      <c r="J18">
        <v>600</v>
      </c>
    </row>
    <row r="19" spans="8:12" x14ac:dyDescent="0.3">
      <c r="H19" t="s">
        <v>8</v>
      </c>
      <c r="I19">
        <v>7.9569999999999999</v>
      </c>
      <c r="J19">
        <v>4890</v>
      </c>
      <c r="K19" t="s">
        <v>4</v>
      </c>
      <c r="L19">
        <f>(J17*I17+J18*I18+J19*I19+J20*I20)*(L20-25)</f>
        <v>112264923.75</v>
      </c>
    </row>
    <row r="20" spans="8:12" x14ac:dyDescent="0.3">
      <c r="H20" t="s">
        <v>9</v>
      </c>
      <c r="I20">
        <v>10.34</v>
      </c>
      <c r="J20">
        <v>1029.4000000000001</v>
      </c>
      <c r="K20" t="s">
        <v>3</v>
      </c>
      <c r="L20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2023-12-10T16:11:07Z</dcterms:modified>
</cp:coreProperties>
</file>